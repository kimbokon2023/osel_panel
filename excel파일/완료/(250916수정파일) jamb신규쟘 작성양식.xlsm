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dawan\excel파일\"/>
    </mc:Choice>
  </mc:AlternateContent>
  <xr:revisionPtr revIDLastSave="0" documentId="13_ncr:1_{D4D0CD3E-0C91-459B-B6E6-55690AAF1592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" sheetId="11" r:id="rId1"/>
    <sheet name="DATA" sheetId="49" r:id="rId2"/>
  </sheets>
  <externalReferences>
    <externalReference r:id="rId3"/>
  </externalReferences>
  <definedNames>
    <definedName name="_xlnm._FilterDatabase" localSheetId="0" hidden="1">발주!#REF!</definedName>
    <definedName name="Width">발주!$C$3</definedName>
    <definedName name="도어총두께">발주!#REF!</definedName>
    <definedName name="도장여부">발주!$D$6</definedName>
    <definedName name="리프트여부">발주!#REF!</definedName>
    <definedName name="운전반박스H1">발주!#REF!</definedName>
    <definedName name="운전반박스H2">발주!#REF!</definedName>
    <definedName name="운전반박스H3">발주!#REF!</definedName>
    <definedName name="운전반박스H4">발주!#REF!</definedName>
    <definedName name="운전반박스H5">발주!#REF!</definedName>
    <definedName name="운전반박스H6">발주!#REF!</definedName>
    <definedName name="운전반박스H7">발주!#REF!</definedName>
    <definedName name="운전반박스H8">발주!#REF!</definedName>
    <definedName name="운전반박스H9">발주!#REF!</definedName>
    <definedName name="운전반박스W1">발주!#REF!</definedName>
    <definedName name="운전반박스W2">발주!#REF!</definedName>
    <definedName name="운전반박스W3">발주!#REF!</definedName>
    <definedName name="운전반박스W4">발주!#REF!</definedName>
    <definedName name="운전반박스W5">발주!#REF!</definedName>
    <definedName name="운전반박스W6">발주!#REF!</definedName>
    <definedName name="운전반박스W7">발주!#REF!</definedName>
    <definedName name="운전반박스W8">발주!#REF!</definedName>
    <definedName name="운전반박스W9">발주!#REF!</definedName>
    <definedName name="일방관통">발주!#REF!</definedName>
    <definedName name="조명천장모자보강">#REF!</definedName>
    <definedName name="천장발목보호대추가">#REF!</definedName>
    <definedName name="천장폭1">발주!#REF!</definedName>
    <definedName name="천장폭2">발주!#REF!</definedName>
    <definedName name="천장폭3">발주!#REF!</definedName>
    <definedName name="천장폭4">발주!#REF!</definedName>
    <definedName name="천장폭5">발주!#REF!</definedName>
    <definedName name="천장폭6">발주!#REF!</definedName>
    <definedName name="천장폭7">발주!#REF!</definedName>
    <definedName name="천장폭8">발주!#REF!</definedName>
    <definedName name="타이어가드">발주!#REF!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1" l="1"/>
  <c r="H10" i="11"/>
  <c r="H9" i="11"/>
  <c r="H8" i="11"/>
  <c r="I5" i="11"/>
  <c r="G5" i="11"/>
  <c r="F5" i="11"/>
  <c r="E3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lightone2017@gmail.com</author>
  </authors>
  <commentList>
    <comment ref="F5" authorId="0" shapeId="0" xr:uid="{82E5C386-E9FF-424D-AF3D-B8216E4C4587}">
      <text>
        <r>
          <rPr>
            <b/>
            <sz val="9"/>
            <color indexed="81"/>
            <rFont val="돋움"/>
            <family val="3"/>
            <charset val="129"/>
          </rPr>
          <t>자동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찾음</t>
        </r>
        <r>
          <rPr>
            <b/>
            <sz val="9"/>
            <color indexed="81"/>
            <rFont val="Tahoma"/>
            <family val="2"/>
          </rPr>
          <t xml:space="preserve"> HPI </t>
        </r>
        <r>
          <rPr>
            <b/>
            <sz val="9"/>
            <color indexed="81"/>
            <rFont val="돋움"/>
            <family val="3"/>
            <charset val="129"/>
          </rPr>
          <t>가로타공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크기</t>
        </r>
      </text>
    </comment>
    <comment ref="G5" authorId="0" shapeId="0" xr:uid="{9275AB38-EAED-44CC-812B-E5E0BCA8DACE}">
      <text>
        <r>
          <rPr>
            <b/>
            <sz val="9"/>
            <color indexed="81"/>
            <rFont val="돋움"/>
            <family val="3"/>
            <charset val="129"/>
          </rPr>
          <t>자동 찾음 HPI 세로타공</t>
        </r>
      </text>
    </comment>
    <comment ref="I5" authorId="0" shapeId="0" xr:uid="{E538C057-EB98-413B-A028-EDDFDA12FCB8}">
      <text>
        <r>
          <rPr>
            <b/>
            <sz val="9"/>
            <color indexed="81"/>
            <rFont val="돋움"/>
            <family val="3"/>
            <charset val="129"/>
          </rPr>
          <t>자동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찾음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노출형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조립홀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간격</t>
        </r>
        <r>
          <rPr>
            <b/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돋움"/>
            <family val="3"/>
            <charset val="129"/>
          </rPr>
          <t>센터기준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L7" authorId="0" shapeId="0" xr:uid="{B541A20A-AA72-4440-A4F6-4D80CC5E80DD}">
      <text>
        <r>
          <rPr>
            <b/>
            <sz val="9"/>
            <color indexed="81"/>
            <rFont val="돋움"/>
            <family val="3"/>
            <charset val="129"/>
          </rPr>
          <t>사각타공의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높이는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세로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접히는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부분까지의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높이를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말합니다</t>
        </r>
        <r>
          <rPr>
            <b/>
            <sz val="9"/>
            <color indexed="81"/>
            <rFont val="Tahoma"/>
            <family val="2"/>
          </rPr>
          <t>.
(</t>
        </r>
        <r>
          <rPr>
            <b/>
            <sz val="9"/>
            <color indexed="81"/>
            <rFont val="돋움"/>
            <family val="3"/>
            <charset val="129"/>
          </rPr>
          <t>사각타공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하단에서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치수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아님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주의요함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<sst xmlns="http://schemas.openxmlformats.org/spreadsheetml/2006/main" count="118" uniqueCount="87">
  <si>
    <t>업체명</t>
    <phoneticPr fontId="1" type="noConversion"/>
  </si>
  <si>
    <t>현장명</t>
    <phoneticPr fontId="1" type="noConversion"/>
  </si>
  <si>
    <t>Thickness</t>
    <phoneticPr fontId="1" type="noConversion"/>
  </si>
  <si>
    <t>유형</t>
    <phoneticPr fontId="1" type="noConversion"/>
  </si>
  <si>
    <t>2CO 방화 Jamb</t>
    <phoneticPr fontId="1" type="noConversion"/>
  </si>
  <si>
    <t>2CO 일반 Jamb</t>
    <phoneticPr fontId="1" type="noConversion"/>
  </si>
  <si>
    <t>층표시</t>
    <phoneticPr fontId="1" type="noConversion"/>
  </si>
  <si>
    <t>Drawn By</t>
    <phoneticPr fontId="1" type="noConversion"/>
  </si>
  <si>
    <t>Issue Date</t>
    <phoneticPr fontId="1" type="noConversion"/>
  </si>
  <si>
    <t>HPI Type</t>
    <phoneticPr fontId="1" type="noConversion"/>
  </si>
  <si>
    <t>JE</t>
    <phoneticPr fontId="1" type="noConversion"/>
  </si>
  <si>
    <t>JD</t>
    <phoneticPr fontId="1" type="noConversion"/>
  </si>
  <si>
    <t>HH</t>
    <phoneticPr fontId="1" type="noConversion"/>
  </si>
  <si>
    <t>MH</t>
    <phoneticPr fontId="1" type="noConversion"/>
  </si>
  <si>
    <t>U</t>
    <phoneticPr fontId="1" type="noConversion"/>
  </si>
  <si>
    <t>C</t>
    <phoneticPr fontId="1" type="noConversion"/>
  </si>
  <si>
    <t>A</t>
    <phoneticPr fontId="1" type="noConversion"/>
  </si>
  <si>
    <t>기둥각도</t>
    <phoneticPr fontId="1" type="noConversion"/>
  </si>
  <si>
    <t>기둥 바닥매립</t>
    <phoneticPr fontId="1" type="noConversion"/>
  </si>
  <si>
    <t>HPI높이</t>
    <phoneticPr fontId="1" type="noConversion"/>
  </si>
  <si>
    <t>형태</t>
    <phoneticPr fontId="1" type="noConversion"/>
  </si>
  <si>
    <t>막판유</t>
    <phoneticPr fontId="1" type="noConversion"/>
  </si>
  <si>
    <t>막판유제어반(좌측)</t>
    <phoneticPr fontId="1" type="noConversion"/>
  </si>
  <si>
    <t>막판유제어반(우측)</t>
    <phoneticPr fontId="1" type="noConversion"/>
  </si>
  <si>
    <t>막판무</t>
    <phoneticPr fontId="1" type="noConversion"/>
  </si>
  <si>
    <t>막판무제어반(좌측)</t>
    <phoneticPr fontId="1" type="noConversion"/>
  </si>
  <si>
    <t>막판무제어반(우측)</t>
    <phoneticPr fontId="1" type="noConversion"/>
  </si>
  <si>
    <t>미적용</t>
    <phoneticPr fontId="1" type="noConversion"/>
  </si>
  <si>
    <t>V-Cut적용</t>
    <phoneticPr fontId="1" type="noConversion"/>
  </si>
  <si>
    <t>막판타공</t>
    <phoneticPr fontId="1" type="noConversion"/>
  </si>
  <si>
    <t>홀간격</t>
    <phoneticPr fontId="1" type="noConversion"/>
  </si>
  <si>
    <t>EMCC매립형301x58x420간격</t>
    <phoneticPr fontId="1" type="noConversion"/>
  </si>
  <si>
    <t>OP</t>
    <phoneticPr fontId="1" type="noConversion"/>
  </si>
  <si>
    <t>Spec</t>
    <phoneticPr fontId="1" type="noConversion"/>
  </si>
  <si>
    <t>Material</t>
    <phoneticPr fontId="1" type="noConversion"/>
  </si>
  <si>
    <t>1.5 T</t>
    <phoneticPr fontId="1" type="noConversion"/>
  </si>
  <si>
    <t>표준사이즈</t>
    <phoneticPr fontId="1" type="noConversion"/>
  </si>
  <si>
    <t>자료수정</t>
    <phoneticPr fontId="1" type="noConversion"/>
  </si>
  <si>
    <t>EMCC DOT 반매립형412x83</t>
    <phoneticPr fontId="1" type="noConversion"/>
  </si>
  <si>
    <t>목양산업 매립형302x62</t>
    <phoneticPr fontId="1" type="noConversion"/>
  </si>
  <si>
    <t>연결형</t>
    <phoneticPr fontId="1" type="noConversion"/>
  </si>
  <si>
    <t>분리형</t>
    <phoneticPr fontId="1" type="noConversion"/>
  </si>
  <si>
    <t>박스있음</t>
    <phoneticPr fontId="1" type="noConversion"/>
  </si>
  <si>
    <t>D366C003_HPI-DD03_막판형</t>
    <phoneticPr fontId="1" type="noConversion"/>
  </si>
  <si>
    <t>EMCC매립형301x60x420간격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</si>
  <si>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</si>
  <si>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</si>
  <si>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노출형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</si>
  <si>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</si>
  <si>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</si>
  <si>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</si>
  <si>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</si>
  <si>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</si>
  <si>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</si>
  <si>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미적용</t>
  </si>
  <si>
    <t>1.5 T</t>
  </si>
  <si>
    <t>2CO 방화 Jamb</t>
  </si>
  <si>
    <t>STS304</t>
  </si>
  <si>
    <t>막판유</t>
  </si>
  <si>
    <t>막판무</t>
  </si>
  <si>
    <t>1F</t>
    <phoneticPr fontId="1" type="noConversion"/>
  </si>
  <si>
    <t>MR</t>
    <phoneticPr fontId="1" type="noConversion"/>
  </si>
  <si>
    <t>ANT(254X70)</t>
    <phoneticPr fontId="1" type="noConversion"/>
  </si>
  <si>
    <t>성광(310X75)</t>
    <phoneticPr fontId="1" type="noConversion"/>
  </si>
  <si>
    <t>매립형</t>
    <phoneticPr fontId="1" type="noConversion"/>
  </si>
  <si>
    <t>구룡산전(170X61)</t>
    <phoneticPr fontId="1" type="noConversion"/>
  </si>
  <si>
    <t>승강기블루(290X85)</t>
    <phoneticPr fontId="1" type="noConversion"/>
  </si>
  <si>
    <t>지앤디(290X85)</t>
    <phoneticPr fontId="1" type="noConversion"/>
  </si>
  <si>
    <t>KB산업(290X85)</t>
    <phoneticPr fontId="1" type="noConversion"/>
  </si>
  <si>
    <t>서명(170X50)</t>
    <phoneticPr fontId="1" type="noConversion"/>
  </si>
  <si>
    <t>영진(505X128)</t>
    <phoneticPr fontId="1" type="noConversion"/>
  </si>
  <si>
    <t>영진(412X83)</t>
    <phoneticPr fontId="1" type="noConversion"/>
  </si>
  <si>
    <t>LGS(250X70)</t>
    <phoneticPr fontId="1" type="noConversion"/>
  </si>
  <si>
    <t>MTK(302X62)</t>
    <phoneticPr fontId="1" type="noConversion"/>
  </si>
  <si>
    <t>이전자료</t>
    <phoneticPr fontId="1" type="noConversion"/>
  </si>
  <si>
    <t>홍길동</t>
    <phoneticPr fontId="1" type="noConversion"/>
  </si>
  <si>
    <t>다완테크</t>
    <phoneticPr fontId="1" type="noConversion"/>
  </si>
  <si>
    <t>서명</t>
    <phoneticPr fontId="1" type="noConversion"/>
  </si>
  <si>
    <t>6F</t>
  </si>
  <si>
    <t>방화/일반</t>
    <phoneticPr fontId="1" type="noConversion"/>
  </si>
  <si>
    <t>방화</t>
    <phoneticPr fontId="1" type="noConversion"/>
  </si>
  <si>
    <t>일반</t>
  </si>
  <si>
    <t>일반</t>
    <phoneticPr fontId="1" type="noConversion"/>
  </si>
  <si>
    <t>방화</t>
  </si>
  <si>
    <t>(방화)1F</t>
    <phoneticPr fontId="1" type="noConversion"/>
  </si>
  <si>
    <t>(방화)6F</t>
  </si>
  <si>
    <t>영진(505X128)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</si>
</sst>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8"/>
      <color rgb="FF00B05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 tint="0.1499984740745262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2" fillId="0" borderId="0" xfId="0" quotePrefix="1" applyFont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4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14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>
      <alignment vertical="center"/>
    </xf>
    <xf numFmtId="0" fontId="8" fillId="6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2" fillId="0" borderId="5" xfId="0" quotePrefix="1" applyFont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13" fillId="9" borderId="1" xfId="1" applyBorder="1" applyAlignment="1">
      <alignment horizontal="center" vertical="center"/>
    </xf>
    <xf numFmtId="176" fontId="9" fillId="3" borderId="1" xfId="0" applyNumberFormat="1" applyFont="1" applyFill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2" fillId="10" borderId="1" xfId="2" applyFill="1" applyBorder="1" applyAlignment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  <protection locked="0"/>
    </xf>
    <xf numFmtId="14" fontId="3" fillId="2" borderId="2" xfId="0" applyNumberFormat="1" applyFont="1" applyFill="1" applyBorder="1" applyAlignment="1" applyProtection="1">
      <alignment horizontal="center" vertical="center"/>
      <protection locked="0"/>
    </xf>
    <xf numFmtId="0" fontId="8" fillId="6" borderId="1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</cellXfs>
  <cellStyles count="3">
    <cellStyle name="경고문" xfId="2" builtinId="11"/>
    <cellStyle name="나쁨" xfId="1" builtinId="27"/>
    <cellStyle name="표준" xfId="0" builtinId="0"/>
  </cellStyles>
  <dxfs count="2">
    <dxf>
      <fill>
        <patternFill>
          <bgColor rgb="FF00B0F0"/>
        </patternFill>
      </fill>
    </dxf>
    <dxf>
      <font>
        <b val="0"/>
        <i val="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49888;&#44508;&#51160;%20&#51089;&#49457;&#50577;&#49885;(&#54620;&#45224;&#44540;&#49373;%20JE&#49688;&#51221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Main">
    <tabColor rgb="FF00B050"/>
    <pageSetUpPr fitToPage="1"/>
  </sheetPr>
  <dimension ref="A1:AL11"/>
  <sheetViews>
    <sheetView tabSelected="1" workbookViewId="0">
      <selection activeCell="E4" sqref="E4:N4"/>
    </sheetView>
  </sheetViews>
  <sheetFormatPr defaultRowHeight="16.5" x14ac:dyDescent="0.3"/>
  <cols>
    <col min="1" max="1" width="19.125" customWidth="1"/>
    <col min="2" max="2" width="24.125" customWidth="1"/>
    <col min="3" max="3" width="15.75" customWidth="1"/>
    <col min="4" max="4" width="18" customWidth="1"/>
    <col min="5" max="5" width="14.25" customWidth="1"/>
    <col min="6" max="6" width="9.375" customWidth="1"/>
    <col min="7" max="7" width="9.5" customWidth="1"/>
    <col min="8" max="8" width="8.875" customWidth="1"/>
    <col min="9" max="9" width="6.75" customWidth="1"/>
    <col min="10" max="10" width="6.625" customWidth="1"/>
    <col min="11" max="11" width="7" customWidth="1"/>
    <col min="12" max="12" width="8.625" customWidth="1"/>
    <col min="13" max="15" width="9.875" customWidth="1"/>
    <col min="16" max="16" width="13.875" customWidth="1"/>
    <col min="17" max="17" width="11.375" customWidth="1"/>
    <col min="18" max="18" width="14.25" customWidth="1"/>
    <col min="19" max="19" width="12.5" customWidth="1"/>
    <col min="20" max="20" width="7.625" bestFit="1" customWidth="1"/>
    <col min="21" max="22" width="13.75" bestFit="1" customWidth="1"/>
    <col min="23" max="23" width="12.875" bestFit="1" customWidth="1"/>
    <col min="24" max="24" width="10.375" customWidth="1"/>
    <col min="25" max="25" width="15.5" bestFit="1" customWidth="1"/>
    <col min="26" max="26" width="13.25" bestFit="1" customWidth="1"/>
    <col min="27" max="27" width="9.875" bestFit="1" customWidth="1"/>
    <col min="28" max="28" width="9.875" style="2" bestFit="1" customWidth="1"/>
    <col min="29" max="29" width="9" style="2" bestFit="1" customWidth="1"/>
    <col min="30" max="30" width="8.25" style="2" bestFit="1" customWidth="1"/>
    <col min="31" max="31" width="4.75" bestFit="1" customWidth="1"/>
    <col min="32" max="32" width="14.125" bestFit="1" customWidth="1"/>
    <col min="33" max="33" width="5.25" bestFit="1" customWidth="1"/>
    <col min="34" max="34" width="14.125" bestFit="1" customWidth="1"/>
    <col min="35" max="35" width="5.25" bestFit="1" customWidth="1"/>
  </cols>
  <sheetData>
    <row r="1" spans="1:38" ht="24" customHeight="1" x14ac:dyDescent="0.3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V1" s="1"/>
      <c r="W1" s="1"/>
      <c r="X1" s="1"/>
    </row>
    <row r="2" spans="1:38" ht="24" customHeight="1" x14ac:dyDescent="0.3">
      <c r="A2" s="6" t="s">
        <v>0</v>
      </c>
      <c r="B2" s="4" t="s">
        <v>77</v>
      </c>
      <c r="C2" s="2"/>
      <c r="D2" s="6" t="s">
        <v>7</v>
      </c>
      <c r="E2" s="4" t="s">
        <v>75</v>
      </c>
      <c r="G2" s="7"/>
      <c r="H2" s="7"/>
      <c r="I2" s="7"/>
      <c r="J2" s="7"/>
      <c r="K2" s="7"/>
      <c r="L2" s="7"/>
      <c r="M2" s="7"/>
      <c r="V2" s="1"/>
      <c r="W2" s="1"/>
      <c r="X2" s="1"/>
    </row>
    <row r="3" spans="1:38" ht="24" customHeight="1" x14ac:dyDescent="0.3">
      <c r="A3" s="6" t="s">
        <v>1</v>
      </c>
      <c r="B3" s="4" t="s">
        <v>76</v>
      </c>
      <c r="C3" s="8"/>
      <c r="D3" s="6" t="s">
        <v>8</v>
      </c>
      <c r="E3" s="12">
        <f ca="1">TODAY()</f>
        <v>45918</v>
      </c>
      <c r="G3" s="7"/>
      <c r="H3" s="7"/>
      <c r="I3" s="7"/>
      <c r="J3" s="7"/>
      <c r="K3" s="7"/>
      <c r="L3" s="7"/>
      <c r="M3" s="7"/>
      <c r="R3" s="1"/>
      <c r="S3" s="1"/>
      <c r="T3" s="1"/>
      <c r="U3" s="1"/>
      <c r="V3" s="1"/>
      <c r="W3" s="1"/>
      <c r="X3" s="1"/>
    </row>
    <row r="4" spans="1:38" ht="24" customHeight="1" thickBot="1" x14ac:dyDescent="0.35">
      <c r="A4" s="6" t="s">
        <v>2</v>
      </c>
      <c r="B4" s="4" t="s">
        <v>55</v>
      </c>
      <c r="C4" s="2"/>
      <c r="D4" s="6" t="s">
        <v>9</v>
      </c>
      <c r="E4" s="29" t="s">
        <v>86</v>
      </c>
      <c r="F4" s="29"/>
      <c r="G4" s="29"/>
      <c r="H4" s="29"/>
      <c r="I4" s="29"/>
      <c r="J4" s="29"/>
      <c r="K4" s="29"/>
      <c r="L4" s="30"/>
      <c r="M4" s="30"/>
      <c r="N4" s="30"/>
      <c r="R4" s="1"/>
      <c r="S4" s="1"/>
      <c r="T4" s="1"/>
      <c r="U4" s="1"/>
      <c r="V4" s="1"/>
      <c r="W4" s="1"/>
      <c r="X4" s="1"/>
    </row>
    <row r="5" spans="1:38" ht="22.5" customHeight="1" thickBot="1" x14ac:dyDescent="0.35">
      <c r="A5" s="6" t="s">
        <v>3</v>
      </c>
      <c r="B5" s="4" t="s">
        <v>56</v>
      </c>
      <c r="C5" s="2"/>
      <c r="D5" s="17" t="s">
        <v>36</v>
      </c>
      <c r="E5" s="24" t="s">
        <v>29</v>
      </c>
      <c r="F5" s="16">
        <f>VLOOKUP(E4,DATA!$E2:$H15,2,FALSE)</f>
        <v>505</v>
      </c>
      <c r="G5" s="16">
        <f>VLOOKUP(E4,DATA!$E2:$H15,3,FALSE)</f>
        <v>128</v>
      </c>
      <c r="H5" s="16" t="s">
        <v>30</v>
      </c>
      <c r="I5" s="31">
        <f>VLOOKUP(E4,DATA!$E2:$H15,4,FALSE)</f>
        <v>0</v>
      </c>
      <c r="J5" s="31"/>
      <c r="K5" s="32"/>
      <c r="L5" s="18" t="s">
        <v>37</v>
      </c>
      <c r="M5" s="19" t="s">
        <v>29</v>
      </c>
      <c r="N5" s="20"/>
      <c r="O5" s="20"/>
      <c r="P5" s="21" t="s">
        <v>30</v>
      </c>
      <c r="Q5" s="22"/>
      <c r="R5" s="1"/>
      <c r="S5" s="1"/>
      <c r="T5" s="1"/>
      <c r="U5" s="1"/>
      <c r="V5" s="1"/>
      <c r="W5" s="1"/>
      <c r="X5" s="1"/>
    </row>
    <row r="6" spans="1:38" ht="15.75" customHeight="1" x14ac:dyDescent="0.3">
      <c r="A6" s="2"/>
      <c r="B6" s="13"/>
      <c r="C6" s="3"/>
      <c r="D6" s="2"/>
      <c r="E6" s="5"/>
      <c r="F6" s="2"/>
      <c r="G6" s="7"/>
      <c r="H6" s="7"/>
      <c r="I6" s="7"/>
      <c r="J6" s="7"/>
      <c r="K6" s="7"/>
      <c r="L6" s="7"/>
      <c r="M6" s="7"/>
      <c r="N6" s="2"/>
      <c r="O6" s="2"/>
      <c r="P6" s="2"/>
      <c r="Q6" s="2"/>
    </row>
    <row r="7" spans="1:38" ht="20.25" customHeight="1" x14ac:dyDescent="0.3">
      <c r="A7" s="10" t="s">
        <v>20</v>
      </c>
      <c r="B7" s="10" t="s">
        <v>6</v>
      </c>
      <c r="C7" s="10" t="s">
        <v>34</v>
      </c>
      <c r="D7" s="10" t="s">
        <v>33</v>
      </c>
      <c r="E7" s="11" t="s">
        <v>28</v>
      </c>
      <c r="F7" s="11" t="s">
        <v>32</v>
      </c>
      <c r="G7" s="10" t="s">
        <v>17</v>
      </c>
      <c r="H7" s="10" t="s">
        <v>10</v>
      </c>
      <c r="I7" s="10" t="s">
        <v>11</v>
      </c>
      <c r="J7" s="10" t="s">
        <v>12</v>
      </c>
      <c r="K7" s="10" t="s">
        <v>13</v>
      </c>
      <c r="L7" s="10" t="s">
        <v>19</v>
      </c>
      <c r="M7" s="10" t="s">
        <v>14</v>
      </c>
      <c r="N7" s="10" t="s">
        <v>15</v>
      </c>
      <c r="O7" s="10" t="s">
        <v>16</v>
      </c>
      <c r="P7" s="10" t="s">
        <v>18</v>
      </c>
      <c r="Q7" s="25" t="s">
        <v>79</v>
      </c>
      <c r="R7" s="2"/>
      <c r="S7" s="2"/>
      <c r="AB7"/>
      <c r="AC7"/>
      <c r="AD7"/>
      <c r="AJ7" s="2"/>
      <c r="AK7" s="2"/>
      <c r="AL7" s="2"/>
    </row>
    <row r="8" spans="1:38" ht="20.25" customHeight="1" x14ac:dyDescent="0.3">
      <c r="A8" s="6" t="s">
        <v>58</v>
      </c>
      <c r="B8" s="6" t="s">
        <v>60</v>
      </c>
      <c r="C8" s="14" t="s">
        <v>57</v>
      </c>
      <c r="D8" s="14" t="s">
        <v>61</v>
      </c>
      <c r="E8" s="14" t="s">
        <v>54</v>
      </c>
      <c r="F8" s="6">
        <v>900</v>
      </c>
      <c r="G8" s="26">
        <v>9.9</v>
      </c>
      <c r="H8" s="27">
        <f>(I8-11.5) * TAN(RADIANS(G8))</f>
        <v>50.351310371024333</v>
      </c>
      <c r="I8" s="6">
        <v>300</v>
      </c>
      <c r="J8" s="6">
        <v>2100</v>
      </c>
      <c r="K8" s="6">
        <v>300</v>
      </c>
      <c r="L8" s="6">
        <v>100</v>
      </c>
      <c r="M8" s="6">
        <v>30</v>
      </c>
      <c r="N8" s="6">
        <v>30</v>
      </c>
      <c r="O8" s="6">
        <v>25</v>
      </c>
      <c r="P8" s="6">
        <v>20</v>
      </c>
      <c r="Q8" s="28" t="s">
        <v>81</v>
      </c>
      <c r="R8" s="23"/>
      <c r="S8" s="23"/>
      <c r="AB8"/>
      <c r="AC8"/>
      <c r="AD8"/>
      <c r="AJ8" s="2"/>
      <c r="AK8" s="2"/>
      <c r="AL8" s="2"/>
    </row>
    <row r="9" spans="1:38" ht="20.25" customHeight="1" x14ac:dyDescent="0.3">
      <c r="A9" s="6" t="s">
        <v>59</v>
      </c>
      <c r="B9" s="6" t="s">
        <v>78</v>
      </c>
      <c r="C9" s="14" t="s">
        <v>57</v>
      </c>
      <c r="D9" s="14" t="s">
        <v>61</v>
      </c>
      <c r="E9" s="14" t="s">
        <v>54</v>
      </c>
      <c r="F9" s="6">
        <v>900</v>
      </c>
      <c r="G9" s="26">
        <v>9.9</v>
      </c>
      <c r="H9" s="27">
        <f t="shared" ref="H9" si="0">(I9-11.5) * TAN(RADIANS(G9))</f>
        <v>50.351310371024333</v>
      </c>
      <c r="I9" s="6">
        <v>300</v>
      </c>
      <c r="J9" s="6">
        <v>2100</v>
      </c>
      <c r="K9" s="6">
        <v>30</v>
      </c>
      <c r="L9" s="6">
        <v>60</v>
      </c>
      <c r="M9" s="6">
        <v>30</v>
      </c>
      <c r="N9" s="6">
        <v>30</v>
      </c>
      <c r="O9" s="6">
        <v>45</v>
      </c>
      <c r="P9" s="6">
        <v>20</v>
      </c>
      <c r="Q9" s="28" t="s">
        <v>81</v>
      </c>
      <c r="R9" s="23"/>
      <c r="S9" s="23"/>
      <c r="AB9"/>
      <c r="AC9"/>
      <c r="AD9"/>
      <c r="AJ9" s="2"/>
      <c r="AK9" s="2"/>
      <c r="AL9" s="2"/>
    </row>
    <row r="10" spans="1:38" ht="20.25" customHeight="1" x14ac:dyDescent="0.3">
      <c r="A10" s="6" t="s">
        <v>58</v>
      </c>
      <c r="B10" s="6" t="s">
        <v>84</v>
      </c>
      <c r="C10" s="14" t="s">
        <v>57</v>
      </c>
      <c r="D10" s="14" t="s">
        <v>61</v>
      </c>
      <c r="E10" s="14" t="s">
        <v>54</v>
      </c>
      <c r="F10" s="6">
        <v>900</v>
      </c>
      <c r="G10" s="26">
        <v>9.9</v>
      </c>
      <c r="H10" s="27">
        <f>(I10-11.5) * TAN(RADIANS(G10))</f>
        <v>50.351310371024333</v>
      </c>
      <c r="I10" s="6">
        <v>300</v>
      </c>
      <c r="J10" s="6">
        <v>2100</v>
      </c>
      <c r="K10" s="6">
        <v>300</v>
      </c>
      <c r="L10" s="6">
        <v>100</v>
      </c>
      <c r="M10" s="6">
        <v>30</v>
      </c>
      <c r="N10" s="6">
        <v>30</v>
      </c>
      <c r="O10" s="6">
        <v>25</v>
      </c>
      <c r="P10" s="6">
        <v>20</v>
      </c>
      <c r="Q10" s="28" t="s">
        <v>83</v>
      </c>
      <c r="R10" s="23"/>
      <c r="S10" s="23"/>
      <c r="AB10"/>
      <c r="AC10"/>
      <c r="AD10"/>
      <c r="AJ10" s="2"/>
      <c r="AK10" s="2"/>
      <c r="AL10" s="2"/>
    </row>
    <row r="11" spans="1:38" ht="20.25" customHeight="1" x14ac:dyDescent="0.3">
      <c r="A11" s="6" t="s">
        <v>59</v>
      </c>
      <c r="B11" s="6" t="s">
        <v>85</v>
      </c>
      <c r="C11" s="14" t="s">
        <v>57</v>
      </c>
      <c r="D11" s="14" t="s">
        <v>61</v>
      </c>
      <c r="E11" s="14" t="s">
        <v>54</v>
      </c>
      <c r="F11" s="6">
        <v>900</v>
      </c>
      <c r="G11" s="26">
        <v>9.9</v>
      </c>
      <c r="H11" s="27">
        <f t="shared" ref="H11" si="1">(I11-11.5) * TAN(RADIANS(G11))</f>
        <v>50.351310371024333</v>
      </c>
      <c r="I11" s="6">
        <v>300</v>
      </c>
      <c r="J11" s="6">
        <v>2100</v>
      </c>
      <c r="K11" s="6">
        <v>30</v>
      </c>
      <c r="L11" s="6">
        <v>60</v>
      </c>
      <c r="M11" s="6">
        <v>30</v>
      </c>
      <c r="N11" s="6">
        <v>30</v>
      </c>
      <c r="O11" s="6">
        <v>45</v>
      </c>
      <c r="P11" s="6">
        <v>20</v>
      </c>
      <c r="Q11" s="28" t="s">
        <v>83</v>
      </c>
      <c r="R11" s="23"/>
      <c r="S11" s="23"/>
      <c r="AB11"/>
      <c r="AC11"/>
      <c r="AD11"/>
      <c r="AJ11" s="2"/>
      <c r="AK11" s="2"/>
      <c r="AL11" s="2"/>
    </row>
  </sheetData>
  <dataConsolidate/>
  <mergeCells count="2">
    <mergeCell ref="E4:N4"/>
    <mergeCell ref="I5:K5"/>
  </mergeCells>
  <phoneticPr fontId="1" type="noConversion"/>
  <conditionalFormatting sqref="A8:A198">
    <cfRule type="containsText" dxfId="1" priority="1" operator="containsText" text="막판무">
      <formula>NOT(ISERROR(SEARCH("막판무",A8)))</formula>
    </cfRule>
  </conditionalFormatting>
  <conditionalFormatting sqref="D6">
    <cfRule type="cellIs" dxfId="0" priority="3" operator="equal">
      <formula>"OK"</formula>
    </cfRule>
  </conditionalFormatting>
  <pageMargins left="0.7" right="0.7" top="0.75" bottom="0.75" header="0.3" footer="0.3"/>
  <pageSetup paperSize="8" scale="98" fitToWidth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0000000}">
          <x14:formula1>
            <xm:f>DATA!$E$1:$E$12</xm:f>
          </x14:formula1>
          <xm:sqref>E4:N4</xm:sqref>
        </x14:dataValidation>
        <x14:dataValidation type="list" allowBlank="1" showInputMessage="1" showErrorMessage="1" xr:uid="{00000000-0002-0000-0000-000006000000}">
          <x14:formula1>
            <xm:f>'[신규쟘 작성양식(한남근생 JE수정).xlsm]DATA'!#REF!</xm:f>
          </x14:formula1>
          <xm:sqref>B4:B5</xm:sqref>
        </x14:dataValidation>
        <x14:dataValidation type="list" allowBlank="1" showInputMessage="1" showErrorMessage="1" xr:uid="{00000000-0002-0000-0000-000002000000}">
          <x14:formula1>
            <xm:f>DATA!$D$1:$D$2</xm:f>
          </x14:formula1>
          <xm:sqref>E8:E11</xm:sqref>
        </x14:dataValidation>
        <x14:dataValidation type="list" allowBlank="1" showInputMessage="1" showErrorMessage="1" xr:uid="{00000000-0002-0000-0000-000003000000}">
          <x14:formula1>
            <xm:f>DATA!$C$1:$C$6</xm:f>
          </x14:formula1>
          <xm:sqref>A8:A11</xm:sqref>
        </x14:dataValidation>
        <x14:dataValidation type="list" allowBlank="1" showInputMessage="1" showErrorMessage="1" xr:uid="{A789C71B-A2CB-429D-817C-5D27F3B4C732}">
          <x14:formula1>
            <xm:f>DATA!$A$21:$A$22</xm:f>
          </x14:formula1>
          <xm:sqref>Q8:Q11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5"/>
  <sheetViews>
    <sheetView workbookViewId="0">
      <selection activeCell="A23" sqref="A23"/>
    </sheetView>
  </sheetViews>
  <sheetFormatPr defaultRowHeight="16.5" x14ac:dyDescent="0.3"/>
  <cols>
    <col min="2" max="2" width="17" customWidth="1"/>
    <col min="3" max="3" width="20.125" customWidth="1"/>
    <col min="5" max="5" width="49.25" customWidth="1"/>
    <col min="6" max="8" width="9" style="2"/>
    <col min="10" max="10" width="21" customWidth="1"/>
    <col min="11" max="11" width="20" customWidth="1"/>
  </cols>
  <sheetData>
    <row r="1" spans="1:11" x14ac:dyDescent="0.3">
      <c r="A1" s="15" t="s">
        <v>35</v>
      </c>
      <c r="B1" s="15" t="s">
        <v>4</v>
      </c>
      <c r="C1" s="15" t="s">
        <v>21</v>
      </c>
      <c r="D1" s="15" t="s">
        <v>27</v>
      </c>
      <c r="E1" s="15"/>
      <c r="F1" s="6"/>
      <c r="G1" s="6"/>
      <c r="H1" s="6"/>
      <c r="I1" s="3" t="s">
        <v>20</v>
      </c>
      <c r="J1" s="15" t="s">
        <v>21</v>
      </c>
      <c r="K1" s="15" t="s">
        <v>4</v>
      </c>
    </row>
    <row r="2" spans="1:11" x14ac:dyDescent="0.3">
      <c r="A2" s="15" t="s">
        <v>35</v>
      </c>
      <c r="B2" s="15" t="s">
        <v>4</v>
      </c>
      <c r="C2" s="15" t="s">
        <v>24</v>
      </c>
      <c r="D2" s="15" t="s">
        <v>27</v>
      </c>
      <c r="E2" t="s">
        <v>62</v>
      </c>
      <c r="F2" s="2">
        <v>254</v>
      </c>
      <c r="G2" s="2">
        <v>70</v>
      </c>
      <c r="H2" s="2">
        <v>370</v>
      </c>
      <c r="I2" t="s">
        <v>64</v>
      </c>
      <c r="J2" s="15" t="s">
        <v>22</v>
      </c>
      <c r="K2" s="15" t="s">
        <v>5</v>
      </c>
    </row>
    <row r="3" spans="1:11" x14ac:dyDescent="0.3">
      <c r="A3" s="15"/>
      <c r="B3" s="15"/>
      <c r="C3" s="15"/>
      <c r="D3" s="15"/>
      <c r="E3" s="15" t="s">
        <v>63</v>
      </c>
      <c r="F3" s="6">
        <v>310</v>
      </c>
      <c r="G3" s="6">
        <v>75</v>
      </c>
      <c r="H3" s="6">
        <v>385</v>
      </c>
      <c r="I3" t="s">
        <v>47</v>
      </c>
      <c r="J3" s="15" t="s">
        <v>23</v>
      </c>
    </row>
    <row r="4" spans="1:11" x14ac:dyDescent="0.3">
      <c r="A4" s="15"/>
      <c r="B4" s="15"/>
      <c r="C4" s="15"/>
      <c r="D4" s="15"/>
      <c r="E4" s="15" t="s">
        <v>65</v>
      </c>
      <c r="F4" s="6">
        <v>170</v>
      </c>
      <c r="G4" s="6">
        <v>61</v>
      </c>
      <c r="H4" s="6">
        <v>387</v>
      </c>
      <c r="I4" t="s">
        <v>47</v>
      </c>
      <c r="J4" s="15" t="s">
        <v>24</v>
      </c>
    </row>
    <row r="5" spans="1:11" x14ac:dyDescent="0.3">
      <c r="A5" s="15"/>
      <c r="B5" s="15"/>
      <c r="C5" s="15"/>
      <c r="D5" s="15"/>
      <c r="E5" s="15" t="s">
        <v>66</v>
      </c>
      <c r="F5" s="6">
        <v>290</v>
      </c>
      <c r="G5" s="6">
        <v>85</v>
      </c>
      <c r="H5" s="6">
        <v>345</v>
      </c>
      <c r="I5" t="s">
        <v>47</v>
      </c>
      <c r="J5" s="15" t="s">
        <v>25</v>
      </c>
    </row>
    <row r="6" spans="1:11" x14ac:dyDescent="0.3">
      <c r="A6" s="15"/>
      <c r="B6" s="15"/>
      <c r="C6" s="15"/>
      <c r="D6" s="15"/>
      <c r="E6" s="15" t="s">
        <v>67</v>
      </c>
      <c r="F6" s="6">
        <v>290</v>
      </c>
      <c r="G6" s="6">
        <v>85</v>
      </c>
      <c r="H6" s="6">
        <v>345</v>
      </c>
      <c r="I6" t="s">
        <v>47</v>
      </c>
      <c r="J6" s="15" t="s">
        <v>26</v>
      </c>
    </row>
    <row r="7" spans="1:11" x14ac:dyDescent="0.3">
      <c r="A7" s="15"/>
      <c r="B7" s="15"/>
      <c r="C7" s="15"/>
      <c r="D7" s="15"/>
      <c r="E7" s="15" t="s">
        <v>68</v>
      </c>
      <c r="F7" s="6">
        <v>290</v>
      </c>
      <c r="G7" s="6">
        <v>85</v>
      </c>
      <c r="H7" s="6">
        <v>345</v>
      </c>
      <c r="I7" t="s">
        <v>47</v>
      </c>
    </row>
    <row r="8" spans="1:11" x14ac:dyDescent="0.3">
      <c r="A8" s="15"/>
      <c r="B8" s="15"/>
      <c r="C8" s="15"/>
      <c r="D8" s="15"/>
      <c r="E8" s="15" t="s">
        <v>69</v>
      </c>
      <c r="F8" s="6">
        <v>170</v>
      </c>
      <c r="G8" s="6">
        <v>50</v>
      </c>
      <c r="H8" s="6">
        <v>387</v>
      </c>
      <c r="I8" t="s">
        <v>47</v>
      </c>
    </row>
    <row r="9" spans="1:11" x14ac:dyDescent="0.3">
      <c r="A9" s="15" t="s">
        <v>40</v>
      </c>
      <c r="B9" s="15">
        <v>480</v>
      </c>
      <c r="C9" s="6"/>
      <c r="D9" s="15"/>
      <c r="E9" s="15" t="s">
        <v>70</v>
      </c>
      <c r="F9" s="6">
        <v>505</v>
      </c>
      <c r="G9" s="6">
        <v>128</v>
      </c>
      <c r="H9" s="6"/>
      <c r="I9" t="s">
        <v>64</v>
      </c>
    </row>
    <row r="10" spans="1:11" x14ac:dyDescent="0.3">
      <c r="A10" s="15" t="s">
        <v>41</v>
      </c>
      <c r="B10" s="15">
        <v>485</v>
      </c>
      <c r="C10" s="15"/>
      <c r="D10" s="15"/>
      <c r="E10" s="15" t="s">
        <v>71</v>
      </c>
      <c r="F10" s="6">
        <v>412</v>
      </c>
      <c r="G10" s="6">
        <v>83</v>
      </c>
      <c r="H10" s="6"/>
      <c r="I10" t="s">
        <v>64</v>
      </c>
    </row>
    <row r="11" spans="1:11" x14ac:dyDescent="0.3">
      <c r="A11" s="15"/>
      <c r="B11" s="15"/>
      <c r="C11" s="15"/>
      <c r="D11" s="15"/>
      <c r="E11" s="15" t="s">
        <v>72</v>
      </c>
      <c r="F11" s="6">
        <v>250</v>
      </c>
      <c r="G11" s="6">
        <v>70</v>
      </c>
      <c r="H11" s="6"/>
      <c r="I11" t="s">
        <v>64</v>
      </c>
    </row>
    <row r="12" spans="1:11" x14ac:dyDescent="0.3">
      <c r="A12" s="15"/>
      <c r="B12" s="15"/>
      <c r="C12" s="15"/>
      <c r="D12" s="15"/>
      <c r="E12" s="15" t="s">
        <v>73</v>
      </c>
      <c r="F12" s="6">
        <v>302</v>
      </c>
      <c r="G12" s="6">
        <v>62</v>
      </c>
      <c r="H12" s="6"/>
      <c r="I12" t="s">
        <v>64</v>
      </c>
    </row>
    <row r="13" spans="1:11" x14ac:dyDescent="0.3">
      <c r="A13" s="15"/>
      <c r="B13" s="15"/>
      <c r="C13" s="15"/>
      <c r="D13" s="15"/>
      <c r="E13" s="15"/>
      <c r="F13" s="6"/>
      <c r="G13" s="6"/>
      <c r="H13" s="6"/>
    </row>
    <row r="14" spans="1:11" x14ac:dyDescent="0.3">
      <c r="A14" s="15"/>
      <c r="B14" s="15"/>
      <c r="C14" s="15" t="s">
        <v>42</v>
      </c>
      <c r="D14" s="15"/>
      <c r="E14" s="15"/>
      <c r="F14" s="6"/>
      <c r="G14" s="6"/>
      <c r="H14" s="6"/>
    </row>
    <row r="21" spans="1:8" x14ac:dyDescent="0.3">
      <c r="A21" t="s">
        <v>80</v>
      </c>
    </row>
    <row r="22" spans="1:8" x14ac:dyDescent="0.3">
      <c r="A22" t="s">
        <v>82</v>
      </c>
      <c r="E22" t="s">
        <v>74</v>
      </c>
    </row>
    <row r="23" spans="1:8" x14ac:dyDescent="0.3">
      <c r="E23" s="15" t="s">
        <v>43</v>
      </c>
      <c r="F23" s="6">
        <v>300</v>
      </c>
      <c r="G23" s="6">
        <v>70</v>
      </c>
      <c r="H23" s="6"/>
    </row>
    <row r="24" spans="1:8" x14ac:dyDescent="0.3">
      <c r="E24" s="15" t="s">
        <v>31</v>
      </c>
      <c r="F24" s="6">
        <v>301</v>
      </c>
      <c r="G24" s="6">
        <v>58</v>
      </c>
      <c r="H24" s="6">
        <v>420</v>
      </c>
    </row>
    <row r="25" spans="1:8" x14ac:dyDescent="0.3">
      <c r="E25" s="15" t="s">
        <v>44</v>
      </c>
      <c r="F25" s="6">
        <v>301</v>
      </c>
      <c r="G25" s="6">
        <v>60</v>
      </c>
      <c r="H25" s="6">
        <v>420</v>
      </c>
    </row>
    <row r="26" spans="1:8" x14ac:dyDescent="0.3">
      <c r="E26" s="15" t="s">
        <v>38</v>
      </c>
      <c r="F26" s="6">
        <v>412</v>
      </c>
      <c r="G26" s="6">
        <v>83</v>
      </c>
      <c r="H26" s="6"/>
    </row>
    <row r="27" spans="1:8" x14ac:dyDescent="0.3">
      <c r="E27" s="15" t="s">
        <v>45</v>
      </c>
      <c r="F27" s="6">
        <v>505</v>
      </c>
      <c r="G27" s="6">
        <v>128</v>
      </c>
      <c r="H27" s="6"/>
    </row>
    <row r="28" spans="1:8" x14ac:dyDescent="0.3">
      <c r="E28" s="15" t="s">
        <v>46</v>
      </c>
      <c r="F28" s="6">
        <v>290</v>
      </c>
      <c r="G28" s="6">
        <v>80</v>
      </c>
      <c r="H28" s="6">
        <v>337</v>
      </c>
    </row>
    <row r="29" spans="1:8" x14ac:dyDescent="0.3">
      <c r="E29" s="15" t="s">
        <v>39</v>
      </c>
      <c r="F29" s="6">
        <v>302</v>
      </c>
      <c r="G29" s="6">
        <v>62</v>
      </c>
      <c r="H29" s="6"/>
    </row>
    <row r="30" spans="1:8" x14ac:dyDescent="0.3">
      <c r="E30" s="15" t="s">
        <v>48</v>
      </c>
      <c r="F30" s="6">
        <v>240</v>
      </c>
      <c r="G30" s="6">
        <v>55</v>
      </c>
      <c r="H30" s="6">
        <v>370</v>
      </c>
    </row>
    <row r="31" spans="1:8" x14ac:dyDescent="0.3">
      <c r="E31" s="15" t="s">
        <v>49</v>
      </c>
      <c r="F31" s="6">
        <v>250</v>
      </c>
      <c r="G31" s="6">
        <v>55</v>
      </c>
      <c r="H31" s="6">
        <v>370</v>
      </c>
    </row>
    <row r="32" spans="1:8" x14ac:dyDescent="0.3">
      <c r="E32" s="15" t="s">
        <v>50</v>
      </c>
      <c r="F32" s="6">
        <v>260</v>
      </c>
      <c r="G32" s="6">
        <v>80</v>
      </c>
      <c r="H32" s="6">
        <v>420</v>
      </c>
    </row>
    <row r="33" spans="5:8" x14ac:dyDescent="0.3">
      <c r="E33" s="15" t="s">
        <v>51</v>
      </c>
      <c r="F33" s="6">
        <v>260</v>
      </c>
      <c r="G33" s="6">
        <v>60</v>
      </c>
      <c r="H33" s="6">
        <v>420</v>
      </c>
    </row>
    <row r="34" spans="5:8" x14ac:dyDescent="0.3">
      <c r="E34" s="15" t="s">
        <v>52</v>
      </c>
      <c r="F34" s="6">
        <v>190</v>
      </c>
      <c r="G34" s="6">
        <v>50</v>
      </c>
      <c r="H34" s="6">
        <v>440</v>
      </c>
    </row>
    <row r="35" spans="5:8" x14ac:dyDescent="0.3">
      <c r="E35" s="15" t="s">
        <v>53</v>
      </c>
      <c r="F35" s="6">
        <v>250</v>
      </c>
      <c r="G35" s="6">
        <v>60</v>
      </c>
      <c r="H35" s="6">
        <v>440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발주</vt:lpstr>
      <vt:lpstr>DATA</vt:lpstr>
      <vt:lpstr>Width</vt:lpstr>
      <vt:lpstr>도장여부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2022-02-12T08:30:12Z</cp:lastPrinted>
  <dcterms:created xsi:type="dcterms:W3CDTF">2020-01-09T06:39:51Z</dcterms:created>
  <dcterms:modified xsi:type="dcterms:W3CDTF">2025-09-18T08:27:48Z</dcterms:modified>
</cp:coreProperties>
</file>